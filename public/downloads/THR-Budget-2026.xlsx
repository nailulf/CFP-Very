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amat Datang" sheetId="1" r:id="rId4"/>
    <sheet state="visible" name="Anggaran THR 2026" sheetId="2" r:id="rId5"/>
  </sheets>
  <definedNames/>
  <calcPr/>
  <extLst>
    <ext uri="GoogleSheetsCustomDataVersion2">
      <go:sheetsCustomData xmlns:go="http://customooxmlschemas.google.com/" r:id="rId6" roundtripDataChecksum="GGjM+IRXPI8l+mShOBStCF9mL5cU/wtQz5N3mN7NvwI="/>
    </ext>
  </extLst>
</workbook>
</file>

<file path=xl/sharedStrings.xml><?xml version="1.0" encoding="utf-8"?>
<sst xmlns="http://schemas.openxmlformats.org/spreadsheetml/2006/main" count="131" uniqueCount="108">
  <si>
    <t>TEMANTUMBUH FINANCIAL PLANNER</t>
  </si>
  <si>
    <t>Perencanaan Anggaran THR 2026</t>
  </si>
  <si>
    <t>Selamat Datang!</t>
  </si>
  <si>
    <t>TemanTumbuh hadir untuk membantu kamu menyusun rencana keuangan yang sederhana, realistis, dan bisa langsung dipraktikkan. Template ini disusun oleh Aditya Very Cleverina, CFP® — Certified Financial Planner™ — untuk membantu individu dan keluarga Indonesia mengelola Tunjangan Hari Raya (THR) dengan bijak dan terencana.</t>
  </si>
  <si>
    <t>📋  PANDUAN PENGGUNAAN</t>
  </si>
  <si>
    <t>1.</t>
  </si>
  <si>
    <t>Masukkan jumlah THR yang kamu terima di kolom "Total THR".</t>
  </si>
  <si>
    <t>2.</t>
  </si>
  <si>
    <t>Pilih apakah ingin membayar Zakat dari THR (ketik "Ya" atau "Tidak").</t>
  </si>
  <si>
    <t>3.</t>
  </si>
  <si>
    <t>Sesuaikan persentase alokasi anggaran (Kebutuhan, Kewajiban, Tabungan, Keinginan). Total harus = 100%.</t>
  </si>
  <si>
    <t>4.</t>
  </si>
  <si>
    <t>Isi detail item di masing-masing kategori: nama item, prioritas, dan jumlah (Rp).</t>
  </si>
  <si>
    <t>5.</t>
  </si>
  <si>
    <t>Pantau ringkasan di bagian kanan atas — pastikan semua THR teralokasi.</t>
  </si>
  <si>
    <t>6.</t>
  </si>
  <si>
    <t>Gunakan kolom Status untuk melihat apakah pengeluaran melebihi batas anggaran.</t>
  </si>
  <si>
    <t>🎨  KODE WARNA</t>
  </si>
  <si>
    <t>Kuning Muda</t>
  </si>
  <si>
    <t>Sel yang BISA diedit — masukkan data kamu di sini (teks biru = input).</t>
  </si>
  <si>
    <t>Hijau Muda</t>
  </si>
  <si>
    <t>Sel otomatis (formula) — JANGAN diedit, hasilnya otomatis (teks hijau tua).</t>
  </si>
  <si>
    <t>Hijau Tua</t>
  </si>
  <si>
    <t>Header kategori dan judul bagian.</t>
  </si>
  <si>
    <t>Coral / Salmon</t>
  </si>
  <si>
    <t>Sub-header dan aksen penting.</t>
  </si>
  <si>
    <t>💡  TIPS MENGELOLA THR</t>
  </si>
  <si>
    <t>Dahulukan membayar kewajiban (zakat, hutang, cicilan) sebelum kebutuhan lainnya.</t>
  </si>
  <si>
    <t>Gunakan prinsip alokasi: Kebutuhan 40%, Kewajiban 30%, Tabungan 20%, Keinginan 10%.</t>
  </si>
  <si>
    <t>Sisihkan tabungan di awal, bukan di akhir (Pay Yourself First).</t>
  </si>
  <si>
    <t>Hindari keputusan impulsif — tunggu 3×24 jam sebelum membeli barang keinginan.</t>
  </si>
  <si>
    <t>Manfaatkan THR untuk memulai atau menambah dana darurat dan investasi.</t>
  </si>
  <si>
    <t>Disusun oleh: Aditya Very Cleverina, CFP® — Certified Financial Planner™</t>
  </si>
  <si>
    <t>temantumbuh.com  •  @temantumbuh  •  Stay tune, temantumbuh.com is launching soon!</t>
  </si>
  <si>
    <t>© 2026 TemanTumbuh Financial Planning. All rights reserved.</t>
  </si>
  <si>
    <t>PERENCANAAN ANGGARAN THR</t>
  </si>
  <si>
    <t>Tunjangan Hari Raya — Kelola THR Anda dengan Bijak</t>
  </si>
  <si>
    <t>TOTAL THR DITERIMA</t>
  </si>
  <si>
    <t>📈 RINGKASAN</t>
  </si>
  <si>
    <t>Total THR (Rp)</t>
  </si>
  <si>
    <t>← Masukkan jumlah THR kamu</t>
  </si>
  <si>
    <t>Kategori</t>
  </si>
  <si>
    <t>Jumlah (Rp)</t>
  </si>
  <si>
    <t>Zakat</t>
  </si>
  <si>
    <t>KALKULATOR ZAKAT</t>
  </si>
  <si>
    <t>Kebutuhan</t>
  </si>
  <si>
    <t>Bayar Zakat dari THR?</t>
  </si>
  <si>
    <t>Ya</t>
  </si>
  <si>
    <t>← Ketik "Ya" atau "Tidak"</t>
  </si>
  <si>
    <t>Kewajiban</t>
  </si>
  <si>
    <t>Tarif Zakat</t>
  </si>
  <si>
    <t>(Default 2.5%)</t>
  </si>
  <si>
    <t>Tabungan</t>
  </si>
  <si>
    <t>Jumlah Zakat (Rp)</t>
  </si>
  <si>
    <t>Keinginan</t>
  </si>
  <si>
    <t>💵 THR Setelah Zakat (Rp)</t>
  </si>
  <si>
    <t>Total Teralokasi</t>
  </si>
  <si>
    <t>Sisa Belum Teralokasi</t>
  </si>
  <si>
    <t>ALOKASI ANGGARAN</t>
  </si>
  <si>
    <t>Alokasi (%)</t>
  </si>
  <si>
    <t>Maks. Anggaran (Rp)</t>
  </si>
  <si>
    <t>Total Terpakai (Rp)</t>
  </si>
  <si>
    <t>Status</t>
  </si>
  <si>
    <t>Kebutuhan (Needs)</t>
  </si>
  <si>
    <t>Kewajiban (Obligations)</t>
  </si>
  <si>
    <t>Tabungan (Savings)</t>
  </si>
  <si>
    <t>Keinginan (Wants)</t>
  </si>
  <si>
    <t>TOTAL</t>
  </si>
  <si>
    <t>💡 Total alokasi harus = 100%. Ubah persentase (biru) sesuai kebutuhan. Default: 40/30/20/10.</t>
  </si>
  <si>
    <t>KEBUTUHAN</t>
  </si>
  <si>
    <t>Prioritas</t>
  </si>
  <si>
    <t>Nama Item</t>
  </si>
  <si>
    <t>Maks. Anggaran</t>
  </si>
  <si>
    <t>Sisa</t>
  </si>
  <si>
    <t>Baju Lebaran</t>
  </si>
  <si>
    <t>Hampers / Parsel</t>
  </si>
  <si>
    <t>Tiket Mudik</t>
  </si>
  <si>
    <t>Makanan Lebaran</t>
  </si>
  <si>
    <t>THR anak</t>
  </si>
  <si>
    <t>THR saudara</t>
  </si>
  <si>
    <t>Total KEBUTUHAN</t>
  </si>
  <si>
    <t>KEWAJIBAN</t>
  </si>
  <si>
    <t>Cicilan Motor</t>
  </si>
  <si>
    <t>Tagihan CC</t>
  </si>
  <si>
    <t>Tagihan Internet</t>
  </si>
  <si>
    <t>Asuransi</t>
  </si>
  <si>
    <t>Total KEWAJIBAN</t>
  </si>
  <si>
    <t>TABUNGAN</t>
  </si>
  <si>
    <t>Dana Darurat</t>
  </si>
  <si>
    <t>Investasi / Reksadana</t>
  </si>
  <si>
    <t>Tabungan Pendidikan</t>
  </si>
  <si>
    <t>Total TABUNGAN</t>
  </si>
  <si>
    <t>KEINGINAN</t>
  </si>
  <si>
    <t>Sepatu</t>
  </si>
  <si>
    <t>Skincare</t>
  </si>
  <si>
    <t>Hiburan / Jalan-jalan</t>
  </si>
  <si>
    <t>Total KEINGINAN</t>
  </si>
  <si>
    <t>TIPS MENGELOLA THR</t>
  </si>
  <si>
    <t>1. Dahulukan membayar kewajiban (zakat, hutang, cicilan) sebelum kebutuhan lainnya.</t>
  </si>
  <si>
    <t>2. Gunakan prinsip 40/30/20/10: Kebutuhan, Kewajiban, Tabungan, Keinginan — sesuaikan jika perlu.</t>
  </si>
  <si>
    <t>3. Sisihkan tabungan di awal, bukan di akhir (Pay Yourself First).</t>
  </si>
  <si>
    <t>4. Hindari keputusan impulsif — tunggu 3×24 jam sebelum membeli barang keinginan.</t>
  </si>
  <si>
    <t>5. Manfaatkan THR untuk memulai atau menambah dana darurat, investasi dan tabungan.</t>
  </si>
  <si>
    <t>6. Isi kolom KUNING (teks biru) untuk menyesuaikan anggaran Anda.</t>
  </si>
  <si>
    <t>7. Sisa anggaran bisa digunakan untuk tambahan tabungan dan investasi.</t>
  </si>
  <si>
    <t>📋 PANDUAN CEPAT</t>
  </si>
  <si>
    <t>🟡 Sel KUNING (teks biru) = Silakan diisi/diedit sesuai kondisi Anda</t>
  </si>
  <si>
    <t>🟢 Sel HIJAU (teks hijau tua) = Formula otomatis — JANGAN diedit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</si>
</sst>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6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FFFFFF"/>
      <name val="Calibri"/>
    </font>
    <font/>
    <font>
      <i/>
      <sz val="13.0"/>
      <color rgb="FFFFFFFF"/>
      <name val="Calibri"/>
    </font>
    <font>
      <b/>
      <sz val="16.0"/>
      <color rgb="FF2D4A3E"/>
      <name val="Calibri"/>
    </font>
    <font>
      <sz val="11.0"/>
      <color rgb="FF424242"/>
      <name val="Calibri"/>
    </font>
    <font>
      <b/>
      <sz val="14.0"/>
      <color rgb="FFFFFFFF"/>
      <name val="Calibri"/>
    </font>
    <font>
      <b/>
      <sz val="11.0"/>
      <color rgb="FFD4856B"/>
      <name val="Calibri"/>
    </font>
    <font>
      <b/>
      <sz val="11.0"/>
      <color rgb="FF2D4A3E"/>
      <name val="Calibri"/>
    </font>
    <font>
      <sz val="10.0"/>
      <color rgb="FF424242"/>
      <name val="Calibri"/>
    </font>
    <font>
      <b/>
      <sz val="10.0"/>
      <color rgb="FF2D4A3E"/>
      <name val="Calibri"/>
    </font>
    <font>
      <sz val="9.0"/>
      <color rgb="FF757575"/>
      <name val="Calibri"/>
    </font>
    <font>
      <sz val="8.0"/>
      <color rgb="FF757575"/>
      <name val="Calibri"/>
    </font>
    <font>
      <b/>
      <sz val="18.0"/>
      <color rgb="FFFFFFFF"/>
      <name val="Calibri"/>
    </font>
    <font>
      <i/>
      <sz val="11.0"/>
      <color rgb="FFFFFFFF"/>
      <name val="Calibri"/>
    </font>
    <font>
      <b/>
      <sz val="12.0"/>
      <color rgb="FFFFFFFF"/>
      <name val="Calibri"/>
    </font>
    <font>
      <b/>
      <sz val="14.0"/>
      <color rgb="FF0000FF"/>
      <name val="Calibri"/>
    </font>
    <font>
      <b/>
      <sz val="11.0"/>
      <color rgb="FF0000FF"/>
      <name val="Calibri"/>
    </font>
    <font>
      <b/>
      <sz val="12.0"/>
      <color rgb="FF2D4A3E"/>
      <name val="Calibri"/>
    </font>
    <font>
      <b/>
      <sz val="11.0"/>
      <color rgb="FFFFFFFF"/>
      <name val="Calibri"/>
    </font>
    <font>
      <b/>
      <sz val="11.0"/>
      <color rgb="FFE74C3C"/>
      <name val="Calibri"/>
    </font>
    <font>
      <sz val="11.0"/>
      <color rgb="FF0000FF"/>
      <name val="Calibri"/>
    </font>
    <font>
      <b/>
      <sz val="10.0"/>
      <color rgb="FFFFFFFF"/>
      <name val="Calibri"/>
    </font>
    <font>
      <b/>
      <sz val="9.0"/>
      <color rgb="FF757575"/>
      <name val="Calibri"/>
    </font>
    <font>
      <b/>
      <sz val="10.0"/>
      <color rgb="FF0000F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EF7"/>
        <bgColor rgb="FFFFFEF7"/>
      </patternFill>
    </fill>
    <fill>
      <patternFill patternType="solid">
        <fgColor rgb="FF2D4A3E"/>
        <bgColor rgb="FF2D4A3E"/>
      </patternFill>
    </fill>
    <fill>
      <patternFill patternType="solid">
        <fgColor rgb="FFD4856B"/>
        <bgColor rgb="FFD4856B"/>
      </patternFill>
    </fill>
    <fill>
      <patternFill patternType="solid">
        <fgColor rgb="FFE0F2E9"/>
        <bgColor rgb="FFE0F2E9"/>
      </patternFill>
    </fill>
    <fill>
      <patternFill patternType="solid">
        <fgColor rgb="FFFFF8E1"/>
        <bgColor rgb="FFFFF8E1"/>
      </patternFill>
    </fill>
    <fill>
      <patternFill patternType="solid">
        <fgColor rgb="FFF5F5F5"/>
        <bgColor rgb="FFF5F5F5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FFFFFF"/>
        <bgColor rgb="FFFFFFFF"/>
      </patternFill>
    </fill>
    <fill>
      <patternFill patternType="solid">
        <fgColor rgb="FF5B8FA8"/>
        <bgColor rgb="FF5B8FA8"/>
      </patternFill>
    </fill>
    <fill>
      <patternFill patternType="solid">
        <fgColor rgb="FF8B6F8E"/>
        <bgColor rgb="FF8B6F8E"/>
      </patternFill>
    </fill>
  </fills>
  <borders count="1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right/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3" fontId="2" numFmtId="0" xfId="0" applyAlignment="1" applyBorder="1" applyFill="1" applyFont="1">
      <alignment horizontal="center" readingOrder="0" shrinkToFit="0" vertical="center" wrapText="0"/>
    </xf>
    <xf borderId="3" fillId="0" fontId="3" numFmtId="0" xfId="0" applyBorder="1" applyFont="1"/>
    <xf borderId="4" fillId="0" fontId="3" numFmtId="0" xfId="0" applyBorder="1" applyFont="1"/>
    <xf borderId="2" fillId="4" fontId="4" numFmtId="0" xfId="0" applyAlignment="1" applyBorder="1" applyFill="1" applyFont="1">
      <alignment horizontal="center" shrinkToFit="0" vertical="center" wrapText="0"/>
    </xf>
    <xf borderId="2" fillId="2" fontId="5" numFmtId="0" xfId="0" applyAlignment="1" applyBorder="1" applyFont="1">
      <alignment horizontal="left" shrinkToFit="0" vertical="center" wrapText="0"/>
    </xf>
    <xf borderId="5" fillId="2" fontId="6" numFmtId="0" xfId="0" applyAlignment="1" applyBorder="1" applyFont="1">
      <alignment horizontal="left" shrinkToFit="0" vertical="top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2" fillId="3" fontId="7" numFmtId="0" xfId="0" applyAlignment="1" applyBorder="1" applyFont="1">
      <alignment horizontal="left" shrinkToFit="0" vertical="center" wrapText="0"/>
    </xf>
    <xf borderId="1" fillId="5" fontId="8" numFmtId="0" xfId="0" applyAlignment="1" applyBorder="1" applyFill="1" applyFont="1">
      <alignment horizontal="center" shrinkToFit="0" vertical="center" wrapText="0"/>
    </xf>
    <xf borderId="2" fillId="5" fontId="6" numFmtId="0" xfId="0" applyAlignment="1" applyBorder="1" applyFont="1">
      <alignment horizontal="left" shrinkToFit="0" vertical="center" wrapText="1"/>
    </xf>
    <xf borderId="13" fillId="6" fontId="1" numFmtId="0" xfId="0" applyAlignment="1" applyBorder="1" applyFill="1" applyFont="1">
      <alignment horizontal="center" shrinkToFit="0" vertical="center" wrapText="0"/>
    </xf>
    <xf borderId="14" fillId="2" fontId="9" numFmtId="0" xfId="0" applyAlignment="1" applyBorder="1" applyFont="1">
      <alignment horizontal="left" shrinkToFit="0" vertical="center" wrapText="0"/>
    </xf>
    <xf borderId="15" fillId="0" fontId="3" numFmtId="0" xfId="0" applyBorder="1" applyFont="1"/>
    <xf borderId="14" fillId="2" fontId="10" numFmtId="0" xfId="0" applyAlignment="1" applyBorder="1" applyFont="1">
      <alignment horizontal="left" shrinkToFit="0" vertical="center" wrapText="1"/>
    </xf>
    <xf borderId="16" fillId="0" fontId="3" numFmtId="0" xfId="0" applyBorder="1" applyFont="1"/>
    <xf borderId="13" fillId="5" fontId="1" numFmtId="0" xfId="0" applyAlignment="1" applyBorder="1" applyFont="1">
      <alignment horizontal="center" shrinkToFit="0" vertical="center" wrapText="0"/>
    </xf>
    <xf borderId="13" fillId="3" fontId="1" numFmtId="0" xfId="0" applyAlignment="1" applyBorder="1" applyFont="1">
      <alignment horizontal="center" shrinkToFit="0" vertical="center" wrapText="0"/>
    </xf>
    <xf borderId="13" fillId="4" fontId="1" numFmtId="0" xfId="0" applyAlignment="1" applyBorder="1" applyFont="1">
      <alignment horizontal="center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2" fillId="2" fontId="10" numFmtId="0" xfId="0" applyAlignment="1" applyBorder="1" applyFont="1">
      <alignment horizontal="left" shrinkToFit="0" vertical="center" wrapText="1"/>
    </xf>
    <xf borderId="2" fillId="2" fontId="11" numFmtId="0" xfId="0" applyAlignment="1" applyBorder="1" applyFont="1">
      <alignment horizontal="center" shrinkToFit="0" vertical="center" wrapText="0"/>
    </xf>
    <xf borderId="2" fillId="2" fontId="12" numFmtId="0" xfId="0" applyAlignment="1" applyBorder="1" applyFont="1">
      <alignment horizontal="center" shrinkToFit="0" vertical="center" wrapText="0"/>
    </xf>
    <xf borderId="2" fillId="2" fontId="13" numFmtId="0" xfId="0" applyAlignment="1" applyBorder="1" applyFont="1">
      <alignment horizontal="center" shrinkToFit="0" vertical="center" wrapText="0"/>
    </xf>
    <xf borderId="2" fillId="3" fontId="14" numFmtId="0" xfId="0" applyAlignment="1" applyBorder="1" applyFont="1">
      <alignment horizontal="center" shrinkToFit="0" vertical="center" wrapText="0"/>
    </xf>
    <xf borderId="2" fillId="4" fontId="15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2" fillId="3" fontId="16" numFmtId="0" xfId="0" applyAlignment="1" applyBorder="1" applyFont="1">
      <alignment horizontal="left" shrinkToFit="0" vertical="center" wrapText="0"/>
    </xf>
    <xf borderId="2" fillId="3" fontId="16" numFmtId="0" xfId="0" applyAlignment="1" applyBorder="1" applyFont="1">
      <alignment horizontal="center" shrinkToFit="0" vertical="center" wrapText="0"/>
    </xf>
    <xf borderId="13" fillId="6" fontId="9" numFmtId="0" xfId="0" applyAlignment="1" applyBorder="1" applyFont="1">
      <alignment horizontal="left" shrinkToFit="0" vertical="center" wrapText="0"/>
    </xf>
    <xf borderId="14" fillId="6" fontId="17" numFmtId="3" xfId="0" applyAlignment="1" applyBorder="1" applyFont="1" applyNumberFormat="1">
      <alignment horizontal="center" shrinkToFit="0" vertical="center" wrapText="0"/>
    </xf>
    <xf borderId="1" fillId="6" fontId="12" numFmtId="0" xfId="0" applyAlignment="1" applyBorder="1" applyFont="1">
      <alignment horizontal="left" readingOrder="0" shrinkToFit="0" vertical="center" wrapText="0"/>
    </xf>
    <xf borderId="13" fillId="7" fontId="9" numFmtId="0" xfId="0" applyAlignment="1" applyBorder="1" applyFill="1" applyFont="1">
      <alignment horizontal="left" shrinkToFit="0" vertical="center" wrapText="0"/>
    </xf>
    <xf borderId="13" fillId="7" fontId="9" numFmtId="0" xfId="0" applyAlignment="1" applyBorder="1" applyFont="1">
      <alignment horizontal="center" shrinkToFit="0" vertical="center" wrapText="0"/>
    </xf>
    <xf borderId="13" fillId="5" fontId="9" numFmtId="0" xfId="0" applyAlignment="1" applyBorder="1" applyFont="1">
      <alignment horizontal="left" shrinkToFit="0" vertical="center" wrapText="0"/>
    </xf>
    <xf borderId="13" fillId="5" fontId="6" numFmtId="3" xfId="0" applyAlignment="1" applyBorder="1" applyFont="1" applyNumberFormat="1">
      <alignment horizontal="center" shrinkToFit="0" vertical="center" wrapText="0"/>
    </xf>
    <xf borderId="2" fillId="4" fontId="16" numFmtId="0" xfId="0" applyAlignment="1" applyBorder="1" applyFont="1">
      <alignment horizontal="left" shrinkToFit="0" vertical="center" wrapText="0"/>
    </xf>
    <xf borderId="13" fillId="6" fontId="18" numFmtId="0" xfId="0" applyAlignment="1" applyBorder="1" applyFont="1">
      <alignment horizontal="center" shrinkToFit="0" vertical="center" wrapText="0"/>
    </xf>
    <xf borderId="1" fillId="5" fontId="12" numFmtId="0" xfId="0" applyAlignment="1" applyBorder="1" applyFont="1">
      <alignment horizontal="left" shrinkToFit="0" vertical="center" wrapText="0"/>
    </xf>
    <xf borderId="13" fillId="6" fontId="6" numFmtId="3" xfId="0" applyAlignment="1" applyBorder="1" applyFont="1" applyNumberFormat="1">
      <alignment horizontal="center" shrinkToFit="0" vertical="center" wrapText="0"/>
    </xf>
    <xf borderId="13" fillId="5" fontId="6" numFmtId="164" xfId="0" applyAlignment="1" applyBorder="1" applyFont="1" applyNumberFormat="1">
      <alignment horizontal="center" shrinkToFit="0" vertical="center" wrapText="0"/>
    </xf>
    <xf borderId="13" fillId="8" fontId="9" numFmtId="0" xfId="0" applyAlignment="1" applyBorder="1" applyFill="1" applyFont="1">
      <alignment horizontal="left" shrinkToFit="0" vertical="center" wrapText="0"/>
    </xf>
    <xf borderId="13" fillId="8" fontId="6" numFmtId="3" xfId="0" applyAlignment="1" applyBorder="1" applyFont="1" applyNumberFormat="1">
      <alignment horizontal="center" shrinkToFit="0" vertical="center" wrapText="0"/>
    </xf>
    <xf borderId="13" fillId="5" fontId="9" numFmtId="3" xfId="0" applyAlignment="1" applyBorder="1" applyFont="1" applyNumberFormat="1">
      <alignment horizontal="center" shrinkToFit="0" vertical="center" wrapText="0"/>
    </xf>
    <xf borderId="13" fillId="9" fontId="9" numFmtId="0" xfId="0" applyAlignment="1" applyBorder="1" applyFill="1" applyFont="1">
      <alignment horizontal="left" shrinkToFit="0" vertical="center" wrapText="0"/>
    </xf>
    <xf borderId="13" fillId="9" fontId="6" numFmtId="3" xfId="0" applyAlignment="1" applyBorder="1" applyFont="1" applyNumberFormat="1">
      <alignment horizontal="center" shrinkToFit="0" vertical="center" wrapText="0"/>
    </xf>
    <xf borderId="13" fillId="6" fontId="19" numFmtId="3" xfId="0" applyAlignment="1" applyBorder="1" applyFont="1" applyNumberFormat="1">
      <alignment horizontal="center" shrinkToFit="0" vertical="center" wrapText="0"/>
    </xf>
    <xf borderId="13" fillId="3" fontId="20" numFmtId="0" xfId="0" applyAlignment="1" applyBorder="1" applyFont="1">
      <alignment horizontal="left" shrinkToFit="0" vertical="center" wrapText="0"/>
    </xf>
    <xf borderId="13" fillId="3" fontId="20" numFmtId="3" xfId="0" applyAlignment="1" applyBorder="1" applyFont="1" applyNumberFormat="1">
      <alignment horizontal="center" shrinkToFit="0" vertical="center" wrapText="0"/>
    </xf>
    <xf borderId="13" fillId="6" fontId="21" numFmtId="3" xfId="0" applyAlignment="1" applyBorder="1" applyFont="1" applyNumberFormat="1">
      <alignment horizontal="center" shrinkToFit="0" vertical="center" wrapText="0"/>
    </xf>
    <xf borderId="13" fillId="7" fontId="11" numFmtId="0" xfId="0" applyAlignment="1" applyBorder="1" applyFont="1">
      <alignment horizontal="center" shrinkToFit="0" vertical="center" wrapText="0"/>
    </xf>
    <xf borderId="13" fillId="6" fontId="22" numFmtId="9" xfId="0" applyAlignment="1" applyBorder="1" applyFont="1" applyNumberFormat="1">
      <alignment horizontal="center" shrinkToFit="0" vertical="center" wrapText="0"/>
    </xf>
    <xf borderId="13" fillId="5" fontId="11" numFmtId="0" xfId="0" applyAlignment="1" applyBorder="1" applyFont="1">
      <alignment horizontal="center" shrinkToFit="0" vertical="center" wrapText="0"/>
    </xf>
    <xf borderId="13" fillId="6" fontId="9" numFmtId="3" xfId="0" applyAlignment="1" applyBorder="1" applyFont="1" applyNumberFormat="1">
      <alignment horizontal="center" shrinkToFit="0" vertical="center" wrapText="0"/>
    </xf>
    <xf borderId="13" fillId="6" fontId="11" numFmtId="0" xfId="0" applyAlignment="1" applyBorder="1" applyFont="1">
      <alignment horizontal="center" shrinkToFit="0" vertical="center" wrapText="0"/>
    </xf>
    <xf borderId="13" fillId="8" fontId="9" numFmtId="3" xfId="0" applyAlignment="1" applyBorder="1" applyFont="1" applyNumberFormat="1">
      <alignment horizontal="center" shrinkToFit="0" vertical="center" wrapText="0"/>
    </xf>
    <xf borderId="13" fillId="8" fontId="11" numFmtId="0" xfId="0" applyAlignment="1" applyBorder="1" applyFont="1">
      <alignment horizontal="center" shrinkToFit="0" vertical="center" wrapText="0"/>
    </xf>
    <xf borderId="13" fillId="9" fontId="9" numFmtId="3" xfId="0" applyAlignment="1" applyBorder="1" applyFont="1" applyNumberFormat="1">
      <alignment horizontal="center" shrinkToFit="0" vertical="center" wrapText="0"/>
    </xf>
    <xf borderId="13" fillId="9" fontId="11" numFmtId="0" xfId="0" applyAlignment="1" applyBorder="1" applyFont="1">
      <alignment horizontal="center" shrinkToFit="0" vertical="center" wrapText="0"/>
    </xf>
    <xf borderId="13" fillId="3" fontId="20" numFmtId="9" xfId="0" applyAlignment="1" applyBorder="1" applyFont="1" applyNumberFormat="1">
      <alignment horizontal="center" shrinkToFit="0" vertical="center" wrapText="0"/>
    </xf>
    <xf borderId="13" fillId="3" fontId="23" numFmtId="0" xfId="0" applyAlignment="1" applyBorder="1" applyFont="1">
      <alignment horizontal="center" shrinkToFit="0" vertical="center" wrapText="0"/>
    </xf>
    <xf borderId="2" fillId="10" fontId="24" numFmtId="0" xfId="0" applyAlignment="1" applyBorder="1" applyFill="1" applyFont="1">
      <alignment horizontal="left" shrinkToFit="0" vertical="center" wrapText="1"/>
    </xf>
    <xf borderId="13" fillId="6" fontId="22" numFmtId="0" xfId="0" applyAlignment="1" applyBorder="1" applyFont="1">
      <alignment horizontal="center" shrinkToFit="0" vertical="center" wrapText="0"/>
    </xf>
    <xf borderId="13" fillId="6" fontId="22" numFmtId="0" xfId="0" applyAlignment="1" applyBorder="1" applyFont="1">
      <alignment horizontal="left" shrinkToFit="0" vertical="center" wrapText="0"/>
    </xf>
    <xf borderId="13" fillId="6" fontId="22" numFmtId="3" xfId="0" applyAlignment="1" applyBorder="1" applyFont="1" applyNumberFormat="1">
      <alignment horizontal="center" shrinkToFit="0" vertical="center" wrapText="0"/>
    </xf>
    <xf borderId="13" fillId="5" fontId="1" numFmtId="0" xfId="0" applyAlignment="1" applyBorder="1" applyFont="1">
      <alignment shrinkToFit="0" vertical="bottom" wrapText="0"/>
    </xf>
    <xf borderId="13" fillId="6" fontId="1" numFmtId="0" xfId="0" applyAlignment="1" applyBorder="1" applyFont="1">
      <alignment shrinkToFit="0" vertical="bottom" wrapText="0"/>
    </xf>
    <xf borderId="13" fillId="4" fontId="20" numFmtId="0" xfId="0" applyAlignment="1" applyBorder="1" applyFont="1">
      <alignment horizontal="left" shrinkToFit="0" vertical="center" wrapText="0"/>
    </xf>
    <xf borderId="13" fillId="4" fontId="20" numFmtId="3" xfId="0" applyAlignment="1" applyBorder="1" applyFont="1" applyNumberFormat="1">
      <alignment horizontal="center" shrinkToFit="0" vertical="center" wrapText="0"/>
    </xf>
    <xf borderId="2" fillId="11" fontId="16" numFmtId="0" xfId="0" applyAlignment="1" applyBorder="1" applyFill="1" applyFont="1">
      <alignment horizontal="left" shrinkToFit="0" vertical="center" wrapText="0"/>
    </xf>
    <xf borderId="13" fillId="8" fontId="1" numFmtId="0" xfId="0" applyAlignment="1" applyBorder="1" applyFont="1">
      <alignment shrinkToFit="0" vertical="bottom" wrapText="0"/>
    </xf>
    <xf borderId="13" fillId="11" fontId="20" numFmtId="0" xfId="0" applyAlignment="1" applyBorder="1" applyFont="1">
      <alignment horizontal="left" shrinkToFit="0" vertical="center" wrapText="0"/>
    </xf>
    <xf borderId="13" fillId="11" fontId="20" numFmtId="3" xfId="0" applyAlignment="1" applyBorder="1" applyFont="1" applyNumberFormat="1">
      <alignment horizontal="center" shrinkToFit="0" vertical="center" wrapText="0"/>
    </xf>
    <xf borderId="2" fillId="12" fontId="16" numFmtId="0" xfId="0" applyAlignment="1" applyBorder="1" applyFill="1" applyFont="1">
      <alignment horizontal="left" shrinkToFit="0" vertical="center" wrapText="0"/>
    </xf>
    <xf borderId="13" fillId="9" fontId="1" numFmtId="0" xfId="0" applyAlignment="1" applyBorder="1" applyFont="1">
      <alignment shrinkToFit="0" vertical="bottom" wrapText="0"/>
    </xf>
    <xf borderId="13" fillId="12" fontId="20" numFmtId="0" xfId="0" applyAlignment="1" applyBorder="1" applyFont="1">
      <alignment horizontal="left" shrinkToFit="0" vertical="center" wrapText="0"/>
    </xf>
    <xf borderId="13" fillId="12" fontId="20" numFmtId="3" xfId="0" applyAlignment="1" applyBorder="1" applyFont="1" applyNumberFormat="1">
      <alignment horizontal="center" shrinkToFit="0" vertical="center" wrapText="0"/>
    </xf>
    <xf borderId="2" fillId="5" fontId="10" numFmtId="0" xfId="0" applyAlignment="1" applyBorder="1" applyFont="1">
      <alignment horizontal="left" shrinkToFit="0" vertical="center" wrapText="1"/>
    </xf>
    <xf borderId="2" fillId="3" fontId="20" numFmtId="0" xfId="0" applyAlignment="1" applyBorder="1" applyFont="1">
      <alignment horizontal="left" shrinkToFit="0" vertical="center" wrapText="0"/>
    </xf>
    <xf borderId="2" fillId="6" fontId="25" numFmtId="0" xfId="0" applyAlignment="1" applyBorder="1" applyFont="1">
      <alignment horizontal="left" shrinkToFit="0" vertical="center" wrapText="1"/>
    </xf>
    <xf borderId="2" fillId="5" fontId="1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533400</xdr:colOff>
      <xdr:row>0</xdr:row>
      <xdr:rowOff>142875</xdr:rowOff>
    </xdr:from>
    <xdr:ext cx="647700" cy="6477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4A3E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10" width="14.0"/>
    <col customWidth="1" min="11" max="11" width="3.0"/>
    <col customWidth="1" min="12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49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4"/>
      <c r="K2" s="1"/>
    </row>
    <row r="3" ht="27.75" customHeight="1">
      <c r="A3" s="1"/>
      <c r="B3" s="5" t="s">
        <v>1</v>
      </c>
      <c r="C3" s="3"/>
      <c r="D3" s="3"/>
      <c r="E3" s="3"/>
      <c r="F3" s="3"/>
      <c r="G3" s="3"/>
      <c r="H3" s="3"/>
      <c r="I3" s="3"/>
      <c r="J3" s="4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4.0" customHeight="1">
      <c r="A5" s="1"/>
      <c r="B5" s="6" t="s">
        <v>2</v>
      </c>
      <c r="C5" s="3"/>
      <c r="D5" s="3"/>
      <c r="E5" s="3"/>
      <c r="F5" s="3"/>
      <c r="G5" s="3"/>
      <c r="H5" s="3"/>
      <c r="I5" s="3"/>
      <c r="J5" s="4"/>
      <c r="K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9.5" customHeight="1">
      <c r="A7" s="1"/>
      <c r="B7" s="7" t="s">
        <v>3</v>
      </c>
      <c r="C7" s="8"/>
      <c r="D7" s="8"/>
      <c r="E7" s="8"/>
      <c r="F7" s="8"/>
      <c r="G7" s="8"/>
      <c r="H7" s="8"/>
      <c r="I7" s="8"/>
      <c r="J7" s="9"/>
      <c r="K7" s="1"/>
    </row>
    <row r="8" ht="19.5" customHeight="1">
      <c r="A8" s="1"/>
      <c r="B8" s="10"/>
      <c r="J8" s="11"/>
      <c r="K8" s="1"/>
    </row>
    <row r="9" ht="19.5" customHeight="1">
      <c r="A9" s="1"/>
      <c r="B9" s="12"/>
      <c r="C9" s="13"/>
      <c r="D9" s="13"/>
      <c r="E9" s="13"/>
      <c r="F9" s="13"/>
      <c r="G9" s="13"/>
      <c r="H9" s="13"/>
      <c r="I9" s="13"/>
      <c r="J9" s="14"/>
      <c r="K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ht="30.0" customHeight="1">
      <c r="A11" s="1"/>
      <c r="B11" s="15" t="s">
        <v>4</v>
      </c>
      <c r="C11" s="3"/>
      <c r="D11" s="3"/>
      <c r="E11" s="3"/>
      <c r="F11" s="3"/>
      <c r="G11" s="3"/>
      <c r="H11" s="3"/>
      <c r="I11" s="3"/>
      <c r="J11" s="4"/>
      <c r="K11" s="1"/>
    </row>
    <row r="12" ht="24.0" customHeight="1">
      <c r="A12" s="1"/>
      <c r="B12" s="16" t="s">
        <v>5</v>
      </c>
      <c r="C12" s="17" t="s">
        <v>6</v>
      </c>
      <c r="D12" s="3"/>
      <c r="E12" s="3"/>
      <c r="F12" s="3"/>
      <c r="G12" s="3"/>
      <c r="H12" s="3"/>
      <c r="I12" s="3"/>
      <c r="J12" s="4"/>
      <c r="K12" s="1"/>
    </row>
    <row r="13" ht="24.0" customHeight="1">
      <c r="A13" s="1"/>
      <c r="B13" s="16" t="s">
        <v>7</v>
      </c>
      <c r="C13" s="17" t="s">
        <v>8</v>
      </c>
      <c r="D13" s="3"/>
      <c r="E13" s="3"/>
      <c r="F13" s="3"/>
      <c r="G13" s="3"/>
      <c r="H13" s="3"/>
      <c r="I13" s="3"/>
      <c r="J13" s="4"/>
      <c r="K13" s="1"/>
    </row>
    <row r="14" ht="24.0" customHeight="1">
      <c r="A14" s="1"/>
      <c r="B14" s="16" t="s">
        <v>9</v>
      </c>
      <c r="C14" s="17" t="s">
        <v>10</v>
      </c>
      <c r="D14" s="3"/>
      <c r="E14" s="3"/>
      <c r="F14" s="3"/>
      <c r="G14" s="3"/>
      <c r="H14" s="3"/>
      <c r="I14" s="3"/>
      <c r="J14" s="4"/>
      <c r="K14" s="1"/>
    </row>
    <row r="15" ht="24.0" customHeight="1">
      <c r="A15" s="1"/>
      <c r="B15" s="16" t="s">
        <v>11</v>
      </c>
      <c r="C15" s="17" t="s">
        <v>12</v>
      </c>
      <c r="D15" s="3"/>
      <c r="E15" s="3"/>
      <c r="F15" s="3"/>
      <c r="G15" s="3"/>
      <c r="H15" s="3"/>
      <c r="I15" s="3"/>
      <c r="J15" s="4"/>
      <c r="K15" s="1"/>
    </row>
    <row r="16" ht="24.0" customHeight="1">
      <c r="A16" s="1"/>
      <c r="B16" s="16" t="s">
        <v>13</v>
      </c>
      <c r="C16" s="17" t="s">
        <v>14</v>
      </c>
      <c r="D16" s="3"/>
      <c r="E16" s="3"/>
      <c r="F16" s="3"/>
      <c r="G16" s="3"/>
      <c r="H16" s="3"/>
      <c r="I16" s="3"/>
      <c r="J16" s="4"/>
      <c r="K16" s="1"/>
    </row>
    <row r="17" ht="24.0" customHeight="1">
      <c r="A17" s="1"/>
      <c r="B17" s="16" t="s">
        <v>15</v>
      </c>
      <c r="C17" s="17" t="s">
        <v>16</v>
      </c>
      <c r="D17" s="3"/>
      <c r="E17" s="3"/>
      <c r="F17" s="3"/>
      <c r="G17" s="3"/>
      <c r="H17" s="3"/>
      <c r="I17" s="3"/>
      <c r="J17" s="4"/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7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30.0" customHeight="1">
      <c r="A20" s="1"/>
      <c r="B20" s="15" t="s">
        <v>17</v>
      </c>
      <c r="C20" s="3"/>
      <c r="D20" s="3"/>
      <c r="E20" s="3"/>
      <c r="F20" s="3"/>
      <c r="G20" s="3"/>
      <c r="H20" s="3"/>
      <c r="I20" s="3"/>
      <c r="J20" s="4"/>
      <c r="K20" s="1"/>
    </row>
    <row r="21" ht="25.5" customHeight="1">
      <c r="A21" s="1"/>
      <c r="B21" s="18"/>
      <c r="C21" s="19" t="s">
        <v>18</v>
      </c>
      <c r="D21" s="20"/>
      <c r="E21" s="21" t="s">
        <v>19</v>
      </c>
      <c r="F21" s="22"/>
      <c r="G21" s="22"/>
      <c r="H21" s="22"/>
      <c r="I21" s="22"/>
      <c r="J21" s="20"/>
      <c r="K21" s="1"/>
    </row>
    <row r="22" ht="25.5" customHeight="1">
      <c r="A22" s="1"/>
      <c r="B22" s="23"/>
      <c r="C22" s="19" t="s">
        <v>20</v>
      </c>
      <c r="D22" s="20"/>
      <c r="E22" s="21" t="s">
        <v>21</v>
      </c>
      <c r="F22" s="22"/>
      <c r="G22" s="22"/>
      <c r="H22" s="22"/>
      <c r="I22" s="22"/>
      <c r="J22" s="20"/>
      <c r="K22" s="1"/>
    </row>
    <row r="23" ht="25.5" customHeight="1">
      <c r="A23" s="1"/>
      <c r="B23" s="24"/>
      <c r="C23" s="19" t="s">
        <v>22</v>
      </c>
      <c r="D23" s="20"/>
      <c r="E23" s="21" t="s">
        <v>23</v>
      </c>
      <c r="F23" s="22"/>
      <c r="G23" s="22"/>
      <c r="H23" s="22"/>
      <c r="I23" s="22"/>
      <c r="J23" s="20"/>
      <c r="K23" s="1"/>
    </row>
    <row r="24" ht="25.5" customHeight="1">
      <c r="A24" s="1"/>
      <c r="B24" s="25"/>
      <c r="C24" s="19" t="s">
        <v>24</v>
      </c>
      <c r="D24" s="20"/>
      <c r="E24" s="21" t="s">
        <v>25</v>
      </c>
      <c r="F24" s="22"/>
      <c r="G24" s="22"/>
      <c r="H24" s="22"/>
      <c r="I24" s="22"/>
      <c r="J24" s="20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7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30.0" customHeight="1">
      <c r="A27" s="1"/>
      <c r="B27" s="15" t="s">
        <v>26</v>
      </c>
      <c r="C27" s="3"/>
      <c r="D27" s="3"/>
      <c r="E27" s="3"/>
      <c r="F27" s="3"/>
      <c r="G27" s="3"/>
      <c r="H27" s="3"/>
      <c r="I27" s="3"/>
      <c r="J27" s="4"/>
      <c r="K27" s="1"/>
    </row>
    <row r="28" ht="24.0" customHeight="1">
      <c r="A28" s="1"/>
      <c r="B28" s="26" t="s">
        <v>5</v>
      </c>
      <c r="C28" s="27" t="s">
        <v>27</v>
      </c>
      <c r="D28" s="3"/>
      <c r="E28" s="3"/>
      <c r="F28" s="3"/>
      <c r="G28" s="3"/>
      <c r="H28" s="3"/>
      <c r="I28" s="3"/>
      <c r="J28" s="4"/>
      <c r="K28" s="1"/>
    </row>
    <row r="29" ht="24.0" customHeight="1">
      <c r="A29" s="1"/>
      <c r="B29" s="26" t="s">
        <v>7</v>
      </c>
      <c r="C29" s="27" t="s">
        <v>28</v>
      </c>
      <c r="D29" s="3"/>
      <c r="E29" s="3"/>
      <c r="F29" s="3"/>
      <c r="G29" s="3"/>
      <c r="H29" s="3"/>
      <c r="I29" s="3"/>
      <c r="J29" s="4"/>
      <c r="K29" s="1"/>
    </row>
    <row r="30" ht="24.0" customHeight="1">
      <c r="A30" s="1"/>
      <c r="B30" s="26" t="s">
        <v>9</v>
      </c>
      <c r="C30" s="27" t="s">
        <v>29</v>
      </c>
      <c r="D30" s="3"/>
      <c r="E30" s="3"/>
      <c r="F30" s="3"/>
      <c r="G30" s="3"/>
      <c r="H30" s="3"/>
      <c r="I30" s="3"/>
      <c r="J30" s="4"/>
      <c r="K30" s="1"/>
    </row>
    <row r="31" ht="24.0" customHeight="1">
      <c r="A31" s="1"/>
      <c r="B31" s="26" t="s">
        <v>11</v>
      </c>
      <c r="C31" s="27" t="s">
        <v>30</v>
      </c>
      <c r="D31" s="3"/>
      <c r="E31" s="3"/>
      <c r="F31" s="3"/>
      <c r="G31" s="3"/>
      <c r="H31" s="3"/>
      <c r="I31" s="3"/>
      <c r="J31" s="4"/>
      <c r="K31" s="1"/>
    </row>
    <row r="32" ht="24.0" customHeight="1">
      <c r="A32" s="1"/>
      <c r="B32" s="26" t="s">
        <v>13</v>
      </c>
      <c r="C32" s="27" t="s">
        <v>31</v>
      </c>
      <c r="D32" s="3"/>
      <c r="E32" s="3"/>
      <c r="F32" s="3"/>
      <c r="G32" s="3"/>
      <c r="H32" s="3"/>
      <c r="I32" s="3"/>
      <c r="J32" s="4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7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28" t="s">
        <v>32</v>
      </c>
      <c r="C35" s="3"/>
      <c r="D35" s="3"/>
      <c r="E35" s="3"/>
      <c r="F35" s="3"/>
      <c r="G35" s="3"/>
      <c r="H35" s="3"/>
      <c r="I35" s="3"/>
      <c r="J35" s="4"/>
      <c r="K35" s="1"/>
    </row>
    <row r="36" ht="15.75" customHeight="1">
      <c r="A36" s="1"/>
      <c r="B36" s="29" t="s">
        <v>33</v>
      </c>
      <c r="C36" s="3"/>
      <c r="D36" s="3"/>
      <c r="E36" s="3"/>
      <c r="F36" s="3"/>
      <c r="G36" s="3"/>
      <c r="H36" s="3"/>
      <c r="I36" s="3"/>
      <c r="J36" s="4"/>
      <c r="K36" s="1"/>
    </row>
    <row r="37" ht="15.75" customHeight="1">
      <c r="A37" s="1"/>
      <c r="B37" s="30" t="s">
        <v>34</v>
      </c>
      <c r="C37" s="3"/>
      <c r="D37" s="3"/>
      <c r="E37" s="3"/>
      <c r="F37" s="3"/>
      <c r="G37" s="3"/>
      <c r="H37" s="3"/>
      <c r="I37" s="3"/>
      <c r="J37" s="4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B2:J2"/>
    <mergeCell ref="B3:J3"/>
    <mergeCell ref="B5:J5"/>
    <mergeCell ref="B7:J9"/>
    <mergeCell ref="B11:J11"/>
    <mergeCell ref="C12:J12"/>
    <mergeCell ref="C13:J13"/>
    <mergeCell ref="C14:J14"/>
    <mergeCell ref="C15:J15"/>
    <mergeCell ref="C16:J16"/>
    <mergeCell ref="C17:J17"/>
    <mergeCell ref="B20:J20"/>
    <mergeCell ref="C21:D21"/>
    <mergeCell ref="E21:J21"/>
    <mergeCell ref="C28:J28"/>
    <mergeCell ref="C29:J29"/>
    <mergeCell ref="C30:J30"/>
    <mergeCell ref="C31:J31"/>
    <mergeCell ref="C32:J32"/>
    <mergeCell ref="B35:J35"/>
    <mergeCell ref="B36:J36"/>
    <mergeCell ref="B37:J37"/>
    <mergeCell ref="C22:D22"/>
    <mergeCell ref="E22:J22"/>
    <mergeCell ref="C23:D23"/>
    <mergeCell ref="E23:J23"/>
    <mergeCell ref="C24:D24"/>
    <mergeCell ref="E24:J24"/>
    <mergeCell ref="B27:J2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856B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3" width="22.0"/>
    <col customWidth="1" min="4" max="4" width="18.0"/>
    <col customWidth="1" min="5" max="5" width="23.43"/>
    <col customWidth="1" min="6" max="6" width="18.0"/>
    <col customWidth="1" min="7" max="7" width="4.0"/>
    <col customWidth="1" min="8" max="8" width="28.0"/>
    <col customWidth="1" min="9" max="9" width="22.0"/>
    <col customWidth="1" min="10" max="26" width="8.71"/>
  </cols>
  <sheetData>
    <row r="1" ht="9.75" customHeight="1"/>
    <row r="2" ht="45.0" customHeight="1">
      <c r="B2" s="31" t="s">
        <v>35</v>
      </c>
      <c r="C2" s="3"/>
      <c r="D2" s="3"/>
      <c r="E2" s="3"/>
      <c r="F2" s="4"/>
    </row>
    <row r="3" ht="27.75" customHeight="1">
      <c r="B3" s="32" t="s">
        <v>36</v>
      </c>
      <c r="C3" s="3"/>
      <c r="D3" s="3"/>
      <c r="E3" s="3"/>
      <c r="F3" s="4"/>
    </row>
    <row r="4">
      <c r="B4" s="33"/>
    </row>
    <row r="5" ht="30.0" customHeight="1">
      <c r="B5" s="34" t="s">
        <v>37</v>
      </c>
      <c r="C5" s="3"/>
      <c r="D5" s="3"/>
      <c r="E5" s="4"/>
      <c r="F5" s="33"/>
      <c r="H5" s="35" t="s">
        <v>38</v>
      </c>
      <c r="I5" s="4"/>
    </row>
    <row r="6" ht="33.75" customHeight="1">
      <c r="B6" s="36" t="s">
        <v>39</v>
      </c>
      <c r="C6" s="37">
        <v>1.0E7</v>
      </c>
      <c r="D6" s="20"/>
      <c r="E6" s="38" t="s">
        <v>40</v>
      </c>
      <c r="H6" s="39" t="s">
        <v>41</v>
      </c>
      <c r="I6" s="40" t="s">
        <v>42</v>
      </c>
    </row>
    <row r="7">
      <c r="H7" s="41" t="s">
        <v>43</v>
      </c>
      <c r="I7" s="42">
        <f>C11</f>
        <v>250000</v>
      </c>
    </row>
    <row r="8" ht="27.75" customHeight="1">
      <c r="B8" s="43" t="s">
        <v>44</v>
      </c>
      <c r="C8" s="3"/>
      <c r="D8" s="3"/>
      <c r="E8" s="4"/>
      <c r="H8" s="41" t="s">
        <v>45</v>
      </c>
      <c r="I8" s="42">
        <f t="shared" ref="I8:I11" si="1">E16</f>
        <v>3900000</v>
      </c>
    </row>
    <row r="9">
      <c r="B9" s="41" t="s">
        <v>46</v>
      </c>
      <c r="C9" s="44" t="s">
        <v>47</v>
      </c>
      <c r="D9" s="45" t="s">
        <v>48</v>
      </c>
      <c r="H9" s="36" t="s">
        <v>49</v>
      </c>
      <c r="I9" s="46">
        <f t="shared" si="1"/>
        <v>2925000</v>
      </c>
    </row>
    <row r="10">
      <c r="B10" s="41" t="s">
        <v>50</v>
      </c>
      <c r="C10" s="47">
        <v>0.025</v>
      </c>
      <c r="D10" s="45" t="s">
        <v>51</v>
      </c>
      <c r="H10" s="48" t="s">
        <v>52</v>
      </c>
      <c r="I10" s="49">
        <f t="shared" si="1"/>
        <v>1950000</v>
      </c>
    </row>
    <row r="11">
      <c r="B11" s="41" t="s">
        <v>53</v>
      </c>
      <c r="C11" s="50">
        <f>IF(UPPER(C9)="YA",C6*C10,0)</f>
        <v>250000</v>
      </c>
      <c r="H11" s="51" t="s">
        <v>54</v>
      </c>
      <c r="I11" s="52">
        <f t="shared" si="1"/>
        <v>975000</v>
      </c>
    </row>
    <row r="12">
      <c r="B12" s="36" t="s">
        <v>55</v>
      </c>
      <c r="C12" s="53">
        <f>C6-C11</f>
        <v>9750000</v>
      </c>
      <c r="H12" s="54" t="s">
        <v>56</v>
      </c>
      <c r="I12" s="55">
        <f>SUM(I7:I11)</f>
        <v>10000000</v>
      </c>
    </row>
    <row r="13">
      <c r="H13" s="36" t="s">
        <v>57</v>
      </c>
      <c r="I13" s="56">
        <f>C6-I12</f>
        <v>0</v>
      </c>
    </row>
    <row r="14" ht="27.75" customHeight="1">
      <c r="B14" s="34" t="s">
        <v>58</v>
      </c>
      <c r="C14" s="3"/>
      <c r="D14" s="3"/>
      <c r="E14" s="3"/>
      <c r="F14" s="4"/>
    </row>
    <row r="15">
      <c r="B15" s="57" t="s">
        <v>41</v>
      </c>
      <c r="C15" s="57" t="s">
        <v>59</v>
      </c>
      <c r="D15" s="57" t="s">
        <v>60</v>
      </c>
      <c r="E15" s="57" t="s">
        <v>61</v>
      </c>
      <c r="F15" s="57" t="s">
        <v>62</v>
      </c>
    </row>
    <row r="16">
      <c r="B16" s="41" t="s">
        <v>63</v>
      </c>
      <c r="C16" s="58">
        <v>0.4</v>
      </c>
      <c r="D16" s="50">
        <f t="shared" ref="D16:D19" si="2">C16*$C$12</f>
        <v>3900000</v>
      </c>
      <c r="E16" s="50">
        <f>D33</f>
        <v>3900000</v>
      </c>
      <c r="F16" s="59" t="str">
        <f t="shared" ref="F16:F19" si="3">IF(E16&gt;D16,"⚠️ OVER","✅ OK")</f>
        <v>✅ OK</v>
      </c>
    </row>
    <row r="17">
      <c r="B17" s="36" t="s">
        <v>64</v>
      </c>
      <c r="C17" s="58">
        <v>0.3</v>
      </c>
      <c r="D17" s="60">
        <f t="shared" si="2"/>
        <v>2925000</v>
      </c>
      <c r="E17" s="60">
        <f>D45</f>
        <v>2925000</v>
      </c>
      <c r="F17" s="61" t="str">
        <f t="shared" si="3"/>
        <v>✅ OK</v>
      </c>
    </row>
    <row r="18">
      <c r="B18" s="48" t="s">
        <v>65</v>
      </c>
      <c r="C18" s="58">
        <v>0.2</v>
      </c>
      <c r="D18" s="62">
        <f t="shared" si="2"/>
        <v>1950000</v>
      </c>
      <c r="E18" s="62">
        <f>D57</f>
        <v>1950000</v>
      </c>
      <c r="F18" s="63" t="str">
        <f t="shared" si="3"/>
        <v>✅ OK</v>
      </c>
    </row>
    <row r="19">
      <c r="B19" s="51" t="s">
        <v>66</v>
      </c>
      <c r="C19" s="58">
        <v>0.1</v>
      </c>
      <c r="D19" s="64">
        <f t="shared" si="2"/>
        <v>975000</v>
      </c>
      <c r="E19" s="64">
        <f>D69</f>
        <v>975000</v>
      </c>
      <c r="F19" s="65" t="str">
        <f t="shared" si="3"/>
        <v>✅ OK</v>
      </c>
    </row>
    <row r="20">
      <c r="B20" s="54" t="s">
        <v>67</v>
      </c>
      <c r="C20" s="66">
        <f t="shared" ref="C20:E20" si="4">SUM(C16:C19)</f>
        <v>1</v>
      </c>
      <c r="D20" s="55">
        <f t="shared" si="4"/>
        <v>9750000</v>
      </c>
      <c r="E20" s="55">
        <f t="shared" si="4"/>
        <v>9750000</v>
      </c>
      <c r="F20" s="67" t="str">
        <f>IF(ABS(C20-1)&gt;0.001,"⚠️ Alokasi ≠ 100%","✅ 100%")</f>
        <v>✅ 100%</v>
      </c>
    </row>
    <row r="21" ht="15.0" customHeight="1">
      <c r="B21" s="68" t="s">
        <v>68</v>
      </c>
      <c r="C21" s="3"/>
      <c r="D21" s="3"/>
      <c r="E21" s="3"/>
      <c r="F21" s="4"/>
    </row>
    <row r="22" ht="15.75" customHeight="1"/>
    <row r="23" ht="15.75" customHeight="1">
      <c r="B23" s="34" t="s">
        <v>69</v>
      </c>
      <c r="C23" s="3"/>
      <c r="D23" s="3"/>
      <c r="E23" s="3"/>
      <c r="F23" s="4"/>
    </row>
    <row r="24" ht="15.75" customHeight="1">
      <c r="B24" s="57" t="s">
        <v>70</v>
      </c>
      <c r="C24" s="57" t="s">
        <v>71</v>
      </c>
      <c r="D24" s="57" t="s">
        <v>42</v>
      </c>
      <c r="E24" s="57" t="s">
        <v>72</v>
      </c>
      <c r="F24" s="57" t="s">
        <v>73</v>
      </c>
    </row>
    <row r="25" ht="15.75" customHeight="1">
      <c r="B25" s="69">
        <v>1.0</v>
      </c>
      <c r="C25" s="70" t="s">
        <v>74</v>
      </c>
      <c r="D25" s="71">
        <v>500000.0</v>
      </c>
      <c r="E25" s="50">
        <f>D16</f>
        <v>3900000</v>
      </c>
      <c r="F25" s="42">
        <f>E25-E33</f>
        <v>0</v>
      </c>
    </row>
    <row r="26" ht="15.75" customHeight="1">
      <c r="B26" s="69">
        <v>2.0</v>
      </c>
      <c r="C26" s="70" t="s">
        <v>75</v>
      </c>
      <c r="D26" s="71">
        <v>500000.0</v>
      </c>
      <c r="E26" s="72"/>
      <c r="F26" s="72"/>
    </row>
    <row r="27" ht="15.75" customHeight="1">
      <c r="B27" s="69">
        <v>3.0</v>
      </c>
      <c r="C27" s="70" t="s">
        <v>76</v>
      </c>
      <c r="D27" s="71">
        <v>1500000.0</v>
      </c>
      <c r="E27" s="72"/>
      <c r="F27" s="72"/>
    </row>
    <row r="28" ht="15.75" customHeight="1">
      <c r="B28" s="69">
        <v>4.0</v>
      </c>
      <c r="C28" s="70" t="s">
        <v>77</v>
      </c>
      <c r="D28" s="71">
        <v>400000.0</v>
      </c>
      <c r="E28" s="72"/>
      <c r="F28" s="72"/>
    </row>
    <row r="29" ht="15.75" customHeight="1">
      <c r="B29" s="69">
        <v>5.0</v>
      </c>
      <c r="C29" s="70" t="s">
        <v>78</v>
      </c>
      <c r="D29" s="71">
        <v>500000.0</v>
      </c>
      <c r="E29" s="72"/>
      <c r="F29" s="72"/>
    </row>
    <row r="30" ht="15.75" customHeight="1">
      <c r="B30" s="69">
        <v>6.0</v>
      </c>
      <c r="C30" s="70" t="s">
        <v>79</v>
      </c>
      <c r="D30" s="71">
        <v>500000.0</v>
      </c>
      <c r="E30" s="72"/>
      <c r="F30" s="72"/>
    </row>
    <row r="31" ht="15.75" customHeight="1">
      <c r="B31" s="69">
        <v>7.0</v>
      </c>
      <c r="C31" s="70"/>
      <c r="D31" s="69"/>
      <c r="E31" s="72"/>
      <c r="F31" s="72"/>
    </row>
    <row r="32" ht="15.75" customHeight="1">
      <c r="B32" s="69">
        <v>8.0</v>
      </c>
      <c r="C32" s="70"/>
      <c r="D32" s="69"/>
      <c r="E32" s="72"/>
      <c r="F32" s="72"/>
    </row>
    <row r="33" ht="15.75" customHeight="1">
      <c r="C33" s="54" t="s">
        <v>80</v>
      </c>
      <c r="D33" s="55">
        <f t="shared" ref="D33:E33" si="5">SUM(D25:D32)</f>
        <v>3900000</v>
      </c>
      <c r="E33" s="55">
        <f t="shared" si="5"/>
        <v>3900000</v>
      </c>
      <c r="F33" s="55">
        <f>E33-D33</f>
        <v>0</v>
      </c>
    </row>
    <row r="34" ht="15.75" customHeight="1"/>
    <row r="35" ht="15.75" customHeight="1">
      <c r="B35" s="43" t="s">
        <v>81</v>
      </c>
      <c r="C35" s="3"/>
      <c r="D35" s="3"/>
      <c r="E35" s="3"/>
      <c r="F35" s="4"/>
    </row>
    <row r="36" ht="15.75" customHeight="1">
      <c r="B36" s="57" t="s">
        <v>70</v>
      </c>
      <c r="C36" s="57" t="s">
        <v>71</v>
      </c>
      <c r="D36" s="57" t="s">
        <v>42</v>
      </c>
      <c r="E36" s="57" t="s">
        <v>72</v>
      </c>
      <c r="F36" s="57" t="s">
        <v>73</v>
      </c>
    </row>
    <row r="37" ht="15.75" customHeight="1">
      <c r="B37" s="69">
        <v>1.0</v>
      </c>
      <c r="C37" s="70" t="s">
        <v>82</v>
      </c>
      <c r="D37" s="71">
        <v>1500000.0</v>
      </c>
      <c r="E37" s="50">
        <f>D17</f>
        <v>2925000</v>
      </c>
      <c r="F37" s="42">
        <f>E37-E45</f>
        <v>0</v>
      </c>
    </row>
    <row r="38" ht="15.75" customHeight="1">
      <c r="B38" s="69">
        <v>2.0</v>
      </c>
      <c r="C38" s="70" t="s">
        <v>83</v>
      </c>
      <c r="D38" s="71">
        <v>500000.0</v>
      </c>
      <c r="E38" s="73"/>
      <c r="F38" s="73"/>
    </row>
    <row r="39" ht="15.75" customHeight="1">
      <c r="B39" s="69">
        <v>3.0</v>
      </c>
      <c r="C39" s="70" t="s">
        <v>84</v>
      </c>
      <c r="D39" s="71">
        <v>500000.0</v>
      </c>
      <c r="E39" s="73"/>
      <c r="F39" s="73"/>
    </row>
    <row r="40" ht="15.75" customHeight="1">
      <c r="B40" s="69">
        <v>4.0</v>
      </c>
      <c r="C40" s="70" t="s">
        <v>85</v>
      </c>
      <c r="D40" s="71">
        <v>425000.0</v>
      </c>
      <c r="E40" s="73"/>
      <c r="F40" s="73"/>
    </row>
    <row r="41" ht="15.75" customHeight="1">
      <c r="B41" s="69">
        <v>5.0</v>
      </c>
      <c r="C41" s="70"/>
      <c r="D41" s="69"/>
      <c r="E41" s="73"/>
      <c r="F41" s="73"/>
    </row>
    <row r="42" ht="15.75" customHeight="1">
      <c r="B42" s="69">
        <v>6.0</v>
      </c>
      <c r="C42" s="70"/>
      <c r="D42" s="69"/>
      <c r="E42" s="73"/>
      <c r="F42" s="73"/>
    </row>
    <row r="43" ht="15.75" customHeight="1">
      <c r="B43" s="69">
        <v>7.0</v>
      </c>
      <c r="C43" s="70"/>
      <c r="D43" s="69"/>
      <c r="E43" s="73"/>
      <c r="F43" s="73"/>
    </row>
    <row r="44" ht="15.75" customHeight="1">
      <c r="B44" s="69">
        <v>8.0</v>
      </c>
      <c r="C44" s="70"/>
      <c r="D44" s="69"/>
      <c r="E44" s="73"/>
      <c r="F44" s="73"/>
    </row>
    <row r="45" ht="15.75" customHeight="1">
      <c r="C45" s="74" t="s">
        <v>86</v>
      </c>
      <c r="D45" s="75">
        <f t="shared" ref="D45:E45" si="6">SUM(D37:D44)</f>
        <v>2925000</v>
      </c>
      <c r="E45" s="75">
        <f t="shared" si="6"/>
        <v>2925000</v>
      </c>
      <c r="F45" s="75">
        <f>E45-D45</f>
        <v>0</v>
      </c>
    </row>
    <row r="46" ht="15.75" customHeight="1"/>
    <row r="47" ht="15.75" customHeight="1">
      <c r="B47" s="76" t="s">
        <v>87</v>
      </c>
      <c r="C47" s="3"/>
      <c r="D47" s="3"/>
      <c r="E47" s="3"/>
      <c r="F47" s="4"/>
    </row>
    <row r="48" ht="15.75" customHeight="1">
      <c r="B48" s="57" t="s">
        <v>70</v>
      </c>
      <c r="C48" s="57" t="s">
        <v>71</v>
      </c>
      <c r="D48" s="57" t="s">
        <v>42</v>
      </c>
      <c r="E48" s="57" t="s">
        <v>72</v>
      </c>
      <c r="F48" s="57" t="s">
        <v>73</v>
      </c>
    </row>
    <row r="49" ht="15.75" customHeight="1">
      <c r="B49" s="69">
        <v>1.0</v>
      </c>
      <c r="C49" s="70" t="s">
        <v>88</v>
      </c>
      <c r="D49" s="71">
        <v>1000000.0</v>
      </c>
      <c r="E49" s="50">
        <f>D18</f>
        <v>1950000</v>
      </c>
      <c r="F49" s="42">
        <f>E49-E57</f>
        <v>0</v>
      </c>
    </row>
    <row r="50" ht="15.75" customHeight="1">
      <c r="B50" s="69">
        <v>2.0</v>
      </c>
      <c r="C50" s="70" t="s">
        <v>89</v>
      </c>
      <c r="D50" s="71">
        <v>350000.0</v>
      </c>
      <c r="E50" s="77"/>
      <c r="F50" s="77"/>
    </row>
    <row r="51" ht="15.75" customHeight="1">
      <c r="B51" s="69">
        <v>3.0</v>
      </c>
      <c r="C51" s="70" t="s">
        <v>90</v>
      </c>
      <c r="D51" s="71">
        <v>300000.0</v>
      </c>
      <c r="E51" s="77"/>
      <c r="F51" s="77"/>
    </row>
    <row r="52" ht="15.75" customHeight="1">
      <c r="B52" s="69">
        <v>4.0</v>
      </c>
      <c r="C52" s="70" t="s">
        <v>52</v>
      </c>
      <c r="D52" s="71">
        <v>300000.0</v>
      </c>
      <c r="E52" s="77"/>
      <c r="F52" s="77"/>
    </row>
    <row r="53" ht="15.75" customHeight="1">
      <c r="B53" s="69">
        <v>5.0</v>
      </c>
      <c r="C53" s="70"/>
      <c r="D53" s="69"/>
      <c r="E53" s="77"/>
      <c r="F53" s="77"/>
    </row>
    <row r="54" ht="15.75" customHeight="1">
      <c r="B54" s="69">
        <v>6.0</v>
      </c>
      <c r="C54" s="70"/>
      <c r="D54" s="69"/>
      <c r="E54" s="77"/>
      <c r="F54" s="77"/>
    </row>
    <row r="55" ht="15.75" customHeight="1">
      <c r="B55" s="69">
        <v>7.0</v>
      </c>
      <c r="C55" s="70"/>
      <c r="D55" s="69"/>
      <c r="E55" s="77"/>
      <c r="F55" s="77"/>
    </row>
    <row r="56" ht="15.75" customHeight="1">
      <c r="B56" s="69">
        <v>8.0</v>
      </c>
      <c r="C56" s="70"/>
      <c r="D56" s="69"/>
      <c r="E56" s="77"/>
      <c r="F56" s="77"/>
    </row>
    <row r="57" ht="15.75" customHeight="1">
      <c r="C57" s="78" t="s">
        <v>91</v>
      </c>
      <c r="D57" s="79">
        <f t="shared" ref="D57:E57" si="7">SUM(D49:D56)</f>
        <v>1950000</v>
      </c>
      <c r="E57" s="79">
        <f t="shared" si="7"/>
        <v>1950000</v>
      </c>
      <c r="F57" s="79">
        <f>E57-D57</f>
        <v>0</v>
      </c>
    </row>
    <row r="58" ht="15.75" customHeight="1"/>
    <row r="59" ht="15.75" customHeight="1">
      <c r="B59" s="80" t="s">
        <v>92</v>
      </c>
      <c r="C59" s="3"/>
      <c r="D59" s="3"/>
      <c r="E59" s="3"/>
      <c r="F59" s="4"/>
    </row>
    <row r="60" ht="15.75" customHeight="1">
      <c r="B60" s="57" t="s">
        <v>70</v>
      </c>
      <c r="C60" s="57" t="s">
        <v>71</v>
      </c>
      <c r="D60" s="57" t="s">
        <v>42</v>
      </c>
      <c r="E60" s="57" t="s">
        <v>72</v>
      </c>
      <c r="F60" s="57" t="s">
        <v>73</v>
      </c>
    </row>
    <row r="61" ht="15.75" customHeight="1">
      <c r="B61" s="69">
        <v>1.0</v>
      </c>
      <c r="C61" s="70" t="s">
        <v>93</v>
      </c>
      <c r="D61" s="71">
        <v>375000.0</v>
      </c>
      <c r="E61" s="50">
        <f>D19</f>
        <v>975000</v>
      </c>
      <c r="F61" s="42">
        <f>E61-E69</f>
        <v>0</v>
      </c>
    </row>
    <row r="62" ht="15.75" customHeight="1">
      <c r="B62" s="69">
        <v>2.0</v>
      </c>
      <c r="C62" s="70" t="s">
        <v>94</v>
      </c>
      <c r="D62" s="71">
        <v>300000.0</v>
      </c>
      <c r="E62" s="81"/>
      <c r="F62" s="81"/>
    </row>
    <row r="63" ht="15.75" customHeight="1">
      <c r="B63" s="69">
        <v>3.0</v>
      </c>
      <c r="C63" s="70" t="s">
        <v>95</v>
      </c>
      <c r="D63" s="71">
        <v>300000.0</v>
      </c>
      <c r="E63" s="81"/>
      <c r="F63" s="81"/>
    </row>
    <row r="64" ht="15.75" customHeight="1">
      <c r="B64" s="69">
        <v>4.0</v>
      </c>
      <c r="C64" s="70"/>
      <c r="D64" s="69"/>
      <c r="E64" s="81"/>
      <c r="F64" s="81"/>
    </row>
    <row r="65" ht="15.75" customHeight="1">
      <c r="B65" s="69">
        <v>5.0</v>
      </c>
      <c r="C65" s="70"/>
      <c r="D65" s="69"/>
      <c r="E65" s="81"/>
      <c r="F65" s="81"/>
    </row>
    <row r="66" ht="15.75" customHeight="1">
      <c r="B66" s="69">
        <v>6.0</v>
      </c>
      <c r="C66" s="70"/>
      <c r="D66" s="69"/>
      <c r="E66" s="81"/>
      <c r="F66" s="81"/>
    </row>
    <row r="67" ht="15.75" customHeight="1">
      <c r="B67" s="69">
        <v>7.0</v>
      </c>
      <c r="C67" s="70"/>
      <c r="D67" s="69"/>
      <c r="E67" s="81"/>
      <c r="F67" s="81"/>
    </row>
    <row r="68" ht="15.75" customHeight="1">
      <c r="B68" s="69">
        <v>8.0</v>
      </c>
      <c r="C68" s="70"/>
      <c r="D68" s="69"/>
      <c r="E68" s="81"/>
      <c r="F68" s="81"/>
    </row>
    <row r="69" ht="15.75" customHeight="1">
      <c r="C69" s="82" t="s">
        <v>96</v>
      </c>
      <c r="D69" s="83">
        <f t="shared" ref="D69:E69" si="8">SUM(D61:D68)</f>
        <v>975000</v>
      </c>
      <c r="E69" s="83">
        <f t="shared" si="8"/>
        <v>975000</v>
      </c>
      <c r="F69" s="83">
        <f>E69-D69</f>
        <v>0</v>
      </c>
    </row>
    <row r="70" ht="15.75" customHeight="1"/>
    <row r="71" ht="15.75" customHeight="1"/>
    <row r="72" ht="15.75" customHeight="1">
      <c r="B72" s="34" t="s">
        <v>97</v>
      </c>
      <c r="C72" s="3"/>
      <c r="D72" s="3"/>
      <c r="E72" s="3"/>
      <c r="F72" s="4"/>
    </row>
    <row r="73" ht="15.0" customHeight="1">
      <c r="B73" s="84" t="s">
        <v>98</v>
      </c>
      <c r="C73" s="3"/>
      <c r="D73" s="3"/>
      <c r="E73" s="3"/>
      <c r="F73" s="4"/>
    </row>
    <row r="74" ht="15.0" customHeight="1">
      <c r="B74" s="84" t="s">
        <v>99</v>
      </c>
      <c r="C74" s="3"/>
      <c r="D74" s="3"/>
      <c r="E74" s="3"/>
      <c r="F74" s="4"/>
    </row>
    <row r="75" ht="15.0" customHeight="1">
      <c r="B75" s="84" t="s">
        <v>100</v>
      </c>
      <c r="C75" s="3"/>
      <c r="D75" s="3"/>
      <c r="E75" s="3"/>
      <c r="F75" s="4"/>
    </row>
    <row r="76" ht="15.0" customHeight="1">
      <c r="B76" s="84" t="s">
        <v>101</v>
      </c>
      <c r="C76" s="3"/>
      <c r="D76" s="3"/>
      <c r="E76" s="3"/>
      <c r="F76" s="4"/>
    </row>
    <row r="77" ht="15.0" customHeight="1">
      <c r="B77" s="84" t="s">
        <v>102</v>
      </c>
      <c r="C77" s="3"/>
      <c r="D77" s="3"/>
      <c r="E77" s="3"/>
      <c r="F77" s="4"/>
    </row>
    <row r="78" ht="15.0" customHeight="1">
      <c r="B78" s="84" t="s">
        <v>103</v>
      </c>
      <c r="C78" s="3"/>
      <c r="D78" s="3"/>
      <c r="E78" s="3"/>
      <c r="F78" s="4"/>
    </row>
    <row r="79" ht="15.0" customHeight="1">
      <c r="B79" s="84" t="s">
        <v>104</v>
      </c>
      <c r="C79" s="3"/>
      <c r="D79" s="3"/>
      <c r="E79" s="3"/>
      <c r="F79" s="4"/>
    </row>
    <row r="80" ht="15.75" customHeight="1"/>
    <row r="81" ht="15.75" customHeight="1">
      <c r="B81" s="85" t="s">
        <v>105</v>
      </c>
      <c r="C81" s="3"/>
      <c r="D81" s="3"/>
      <c r="E81" s="3"/>
      <c r="F81" s="4"/>
    </row>
    <row r="82" ht="15.0" customHeight="1">
      <c r="B82" s="86" t="s">
        <v>106</v>
      </c>
      <c r="C82" s="3"/>
      <c r="D82" s="3"/>
      <c r="E82" s="3"/>
      <c r="F82" s="4"/>
    </row>
    <row r="83" ht="15.0" customHeight="1">
      <c r="B83" s="87" t="s">
        <v>107</v>
      </c>
      <c r="C83" s="3"/>
      <c r="D83" s="3"/>
      <c r="E83" s="3"/>
      <c r="F83" s="4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2:F2"/>
    <mergeCell ref="B3:F3"/>
    <mergeCell ref="B4:F4"/>
    <mergeCell ref="B5:E5"/>
    <mergeCell ref="F5:F13"/>
    <mergeCell ref="H5:I5"/>
    <mergeCell ref="C6:D6"/>
    <mergeCell ref="B8:E8"/>
    <mergeCell ref="B14:F14"/>
    <mergeCell ref="B21:F21"/>
    <mergeCell ref="B23:F23"/>
    <mergeCell ref="B35:F35"/>
    <mergeCell ref="B47:F47"/>
    <mergeCell ref="B59:F59"/>
    <mergeCell ref="B79:F79"/>
    <mergeCell ref="B81:F81"/>
    <mergeCell ref="B82:F82"/>
    <mergeCell ref="B83:F83"/>
    <mergeCell ref="B72:F72"/>
    <mergeCell ref="B73:F73"/>
    <mergeCell ref="B74:F74"/>
    <mergeCell ref="B75:F75"/>
    <mergeCell ref="B76:F76"/>
    <mergeCell ref="B77:F77"/>
    <mergeCell ref="B78:F7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2026-03-13T03:33:15Z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